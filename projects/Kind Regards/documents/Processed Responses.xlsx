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Gebruiker\Downloads\"/>
    </mc:Choice>
  </mc:AlternateContent>
  <xr:revisionPtr revIDLastSave="0" documentId="13_ncr:1_{F19E1BF3-9351-47FE-A606-06BB3C592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Data for Processing" sheetId="5" r:id="rId2"/>
    <sheet name="Processed Respon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3" l="1"/>
  <c r="E13" i="5"/>
  <c r="I54" i="3"/>
  <c r="I39" i="3"/>
  <c r="I20" i="3"/>
  <c r="I69" i="3"/>
  <c r="I30" i="3"/>
  <c r="I5" i="3" a="1"/>
  <c r="I5" i="3" s="1"/>
  <c r="I23" i="3"/>
  <c r="I57" i="3"/>
  <c r="I46" i="3"/>
  <c r="I56" i="3"/>
  <c r="E2" i="5" l="1"/>
  <c r="I3" i="3" s="1"/>
  <c r="I28" i="3"/>
  <c r="I26" i="3"/>
  <c r="I29" i="3"/>
  <c r="I27" i="3"/>
  <c r="I6" i="3"/>
  <c r="I32" i="3"/>
  <c r="I70" i="3"/>
  <c r="I19" i="3"/>
  <c r="I33" i="3"/>
  <c r="E5" i="5"/>
  <c r="E8" i="5"/>
  <c r="E18" i="5" s="1"/>
  <c r="I31" i="3"/>
  <c r="I34" i="3"/>
  <c r="E9" i="5"/>
  <c r="E19" i="5" s="1"/>
  <c r="E11" i="5"/>
  <c r="E21" i="5" s="1"/>
  <c r="I35" i="3"/>
  <c r="I86" i="3"/>
  <c r="I41" i="3"/>
  <c r="I25" i="3"/>
  <c r="I42" i="3"/>
  <c r="E12" i="5"/>
  <c r="E22" i="5" s="1"/>
  <c r="I22" i="3"/>
  <c r="E10" i="5"/>
  <c r="E20" i="5" s="1"/>
  <c r="I53" i="3"/>
  <c r="E14" i="5"/>
  <c r="I85" i="3"/>
  <c r="E6" i="5"/>
  <c r="E16" i="5" s="1"/>
  <c r="E7" i="5"/>
  <c r="E17" i="5" s="1"/>
  <c r="I38" i="3"/>
  <c r="I37" i="3"/>
  <c r="I4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<sst xmlns="http://schemas.openxmlformats.org/spreadsheetml/2006/main" count="139" uniqueCount="84">
  <si>
    <t>Amount of responses</t>
  </si>
  <si>
    <t>Average age</t>
  </si>
  <si>
    <t>General</t>
  </si>
  <si>
    <t>Processed Responses</t>
  </si>
  <si>
    <t>Age chart</t>
  </si>
  <si>
    <t>Median age</t>
  </si>
  <si>
    <t>Layout</t>
  </si>
  <si>
    <t>Age</t>
  </si>
  <si>
    <t>&lt; 12</t>
  </si>
  <si>
    <t>&gt; 18</t>
  </si>
  <si>
    <t>Response count</t>
  </si>
  <si>
    <t>Raw Data</t>
  </si>
  <si>
    <t>Prefer not to say</t>
  </si>
  <si>
    <t>Count</t>
  </si>
  <si>
    <t>Age * count</t>
  </si>
  <si>
    <t>-</t>
  </si>
  <si>
    <t>Found diary</t>
  </si>
  <si>
    <t>No</t>
  </si>
  <si>
    <t>Yes</t>
  </si>
  <si>
    <t>See chart</t>
  </si>
  <si>
    <t>Found color customization</t>
  </si>
  <si>
    <t>Did controls feel crowded?</t>
  </si>
  <si>
    <t>0 - crowded</t>
  </si>
  <si>
    <t>10 - not crowded</t>
  </si>
  <si>
    <t>Are color customizations well seperated from other controls or objects?</t>
  </si>
  <si>
    <t>Not seen</t>
  </si>
  <si>
    <t>Are color customications ordered logically?</t>
  </si>
  <si>
    <t>Is it easy to navigate through the game?</t>
  </si>
  <si>
    <t>Mood</t>
  </si>
  <si>
    <t>Did the music of the game affect the player's mood?</t>
  </si>
  <si>
    <t>Did communicating with the owl feel comfortable?</t>
  </si>
  <si>
    <t>Messages</t>
  </si>
  <si>
    <t>Did the message options feel relatable?</t>
  </si>
  <si>
    <t>Diary</t>
  </si>
  <si>
    <t>Are three emoticons enough?</t>
  </si>
  <si>
    <t>Timestamp</t>
  </si>
  <si>
    <t>How old are you?</t>
  </si>
  <si>
    <t>Did you find the diary?</t>
  </si>
  <si>
    <t>Did you find the option to change the owl's color?</t>
  </si>
  <si>
    <t>Did the controls in the game (buttons, text, images) feel crowded?</t>
  </si>
  <si>
    <t>Are color customizations well seperated from other controls or objects? (like the gift or the owl)</t>
  </si>
  <si>
    <t>Are color customizations ordered logically?</t>
  </si>
  <si>
    <t>If you chose "No" at the previous question, how would you improve the ordering of the customizations?</t>
  </si>
  <si>
    <t>If you chose "No" at the previous question, please explain why.</t>
  </si>
  <si>
    <t>Do you have suggestions to improve the layout of the game?</t>
  </si>
  <si>
    <t>How did you feel when writing a diary entry?</t>
  </si>
  <si>
    <t>How did you feel when you read previously written diary entries?</t>
  </si>
  <si>
    <t>How did sending a message make you feel?</t>
  </si>
  <si>
    <t>How did receiving a message make you feel?</t>
  </si>
  <si>
    <t>Did the music of the game affect your mood?</t>
  </si>
  <si>
    <t>If the music of the game affected your mood, how did it affect your mood?</t>
  </si>
  <si>
    <t>What would you change about the music?</t>
  </si>
  <si>
    <t>How do the colors used in the game make you feel?</t>
  </si>
  <si>
    <t>Why did communicating with the owl (not) feel comfortable?</t>
  </si>
  <si>
    <t>Why did the message options (not) feel relatable?</t>
  </si>
  <si>
    <t>Are the three emoticons enough to show how you felt that day?</t>
  </si>
  <si>
    <t>What do you think about the concept of sending and receiving messages?</t>
  </si>
  <si>
    <t>What is your opinion about writing diary entries?</t>
  </si>
  <si>
    <t>What do you think about the music used in the game?</t>
  </si>
  <si>
    <t>What is your opinion about the concept of receiving, sending, and using stickers?</t>
  </si>
  <si>
    <t>Happy</t>
  </si>
  <si>
    <t>Nostalgic</t>
  </si>
  <si>
    <t>Comfortable</t>
  </si>
  <si>
    <t>Positively</t>
  </si>
  <si>
    <t>Safe</t>
  </si>
  <si>
    <t>It suited my expectations</t>
  </si>
  <si>
    <t>I could find my problem</t>
  </si>
  <si>
    <t>I prefer not to say</t>
  </si>
  <si>
    <t>Make it a grayscale</t>
  </si>
  <si>
    <t>It's crowded</t>
  </si>
  <si>
    <t>Less buttons</t>
  </si>
  <si>
    <t>anxious happy relieved</t>
  </si>
  <si>
    <t>anxious disturbed</t>
  </si>
  <si>
    <t>not safe exposed</t>
  </si>
  <si>
    <t>Make it more happy</t>
  </si>
  <si>
    <t>like a child</t>
  </si>
  <si>
    <t>i didn't connect</t>
  </si>
  <si>
    <t>i couldn't find mine</t>
  </si>
  <si>
    <t>dull</t>
  </si>
  <si>
    <t>excited</t>
  </si>
  <si>
    <t>It wasn't enough</t>
  </si>
  <si>
    <t>Kinda lame</t>
  </si>
  <si>
    <t>It is boring</t>
  </si>
  <si>
    <t>boring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</si>
</sst>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sz val="12"/>
      <color rgb="FF202124"/>
      <name val="Roboto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1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Age of the Test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for Processing'!$C$5:$C$14</c:f>
              <c:strCache>
                <c:ptCount val="10"/>
                <c:pt idx="0">
                  <c:v>&lt; 12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&gt; 18</c:v>
                </c:pt>
                <c:pt idx="9">
                  <c:v>Prefer not to say</c:v>
                </c:pt>
              </c:strCache>
            </c:strRef>
          </c:cat>
          <c:val>
            <c:numRef>
              <c:f>'Data for Processing'!$D$5:$D$14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E-A34E-40F7-8D38-1A503633BF0D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'Data for Processing'!$C$5:$C$14</c:f>
              <c:strCache>
                <c:ptCount val="10"/>
                <c:pt idx="0">
                  <c:v>&lt; 12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&gt; 18</c:v>
                </c:pt>
                <c:pt idx="9">
                  <c:v>Prefer not to say</c:v>
                </c:pt>
              </c:strCache>
            </c:strRef>
          </c:cat>
          <c:val>
            <c:numRef>
              <c:f>'Data for Processing'!$E$5:$E$14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34E-40F7-8D38-1A503633B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773024"/>
        <c:axId val="1908773440"/>
      </c:barChart>
      <c:catAx>
        <c:axId val="19087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08773440"/>
        <c:crosses val="autoZero"/>
        <c:auto val="1"/>
        <c:lblAlgn val="ctr"/>
        <c:lblOffset val="100"/>
        <c:noMultiLvlLbl val="0"/>
      </c:catAx>
      <c:valAx>
        <c:axId val="190877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08773024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find the diary?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F-4D14-B375-1BF7B16F70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F-4D14-B375-1BF7B16F7064}"/>
              </c:ext>
            </c:extLst>
          </c:dPt>
          <c:cat>
            <c:strRef>
              <c:f>'Processed Responses'!$H$19:$H$20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Responses'!$I$19:$I$20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74-43B9-8F67-1F5C75D1F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Did you find the companion</a:t>
            </a:r>
            <a:r>
              <a:rPr lang="en-US" baseline="0"/>
              <a:t> customizations</a:t>
            </a:r>
            <a:r>
              <a:rPr lang="en-US"/>
              <a:t>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27-41E7-8463-5A6AEDFF86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27-41E7-8463-5A6AEDFF8661}"/>
              </c:ext>
            </c:extLst>
          </c:dPt>
          <c:cat>
            <c:strRef>
              <c:f>'Processed Responses'!$H$22:$H$23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Responses'!$I$22:$I$23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27-41E7-8463-5A6AEDFF8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Did the</a:t>
            </a:r>
            <a:r>
              <a:rPr lang="nl-NL" baseline="0"/>
              <a:t> controls feel crowded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'Processed Responses'!$H$25:$H$35</c:f>
              <c:strCache>
                <c:ptCount val="11"/>
                <c:pt idx="0">
                  <c:v>0 - crowded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10 - not crowded</c:v>
                </c:pt>
              </c:strCache>
            </c:strRef>
          </c:cat>
          <c:val>
            <c:numRef>
              <c:f>'Processed Responses'!$I$25:$I$35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A-4879-BF50-4F077AE5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563056"/>
        <c:axId val="2008561808"/>
      </c:barChart>
      <c:catAx>
        <c:axId val="200856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08561808"/>
        <c:crosses val="autoZero"/>
        <c:auto val="1"/>
        <c:lblAlgn val="ctr"/>
        <c:lblOffset val="100"/>
        <c:noMultiLvlLbl val="0"/>
      </c:catAx>
      <c:valAx>
        <c:axId val="200856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08563056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Are customizations well seperated</a:t>
            </a:r>
            <a:r>
              <a:rPr lang="nl-NL" baseline="0"/>
              <a:t> from other controls or objects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E7-4983-928C-B4CA701A52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E7-4983-928C-B4CA701A52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E7-4983-928C-B4CA701A5274}"/>
              </c:ext>
            </c:extLst>
          </c:dPt>
          <c:cat>
            <c:strRef>
              <c:f>'Processed Responses'!$H$37:$H$39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Not seen</c:v>
                </c:pt>
              </c:strCache>
            </c:strRef>
          </c:cat>
          <c:val>
            <c:numRef>
              <c:f>'Processed Responses'!$I$37:$I$39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B-422D-8105-2262BB616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Are customizations colors</a:t>
            </a:r>
            <a:r>
              <a:rPr lang="nl-NL" baseline="0"/>
              <a:t> ordered logically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B-4760-9AFD-431F88A7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EB-4760-9AFD-431F88A7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EB-4760-9AFD-431F88A7D63B}"/>
              </c:ext>
            </c:extLst>
          </c:dPt>
          <c:cat>
            <c:strRef>
              <c:f>'Processed Responses'!$H$41:$H$43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Not seen</c:v>
                </c:pt>
              </c:strCache>
            </c:strRef>
          </c:cat>
          <c:val>
            <c:numRef>
              <c:f>'Processed Responses'!$I$41:$I$43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EB-4760-9AFD-431F88A7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Is</a:t>
            </a:r>
            <a:r>
              <a:rPr lang="nl-NL" baseline="0"/>
              <a:t> the product easy navigable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37-4C4F-B851-9A89577C0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37-4C4F-B851-9A89577C0611}"/>
              </c:ext>
            </c:extLst>
          </c:dPt>
          <c:cat>
            <c:strRef>
              <c:f>'Processed Responses'!$H$45:$H$46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Responses'!$I$45:$I$46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7-4C4F-B851-9A89577C0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Did the music affect the player's mood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25-4E99-A3E6-DC20EA73FF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25-4E99-A3E6-DC20EA73FFD9}"/>
              </c:ext>
            </c:extLst>
          </c:dPt>
          <c:cat>
            <c:strRef>
              <c:f>'Processed Responses'!$H$53:$H$54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Responses'!$I$53:$I$54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25-4E99-A3E6-DC20EA73F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Did communicating</a:t>
            </a:r>
            <a:r>
              <a:rPr lang="nl-NL" baseline="0"/>
              <a:t> wit hthe owl feel comfortable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C9-4040-B465-8DDF17187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9-4040-B465-8DDF17187807}"/>
              </c:ext>
            </c:extLst>
          </c:dPt>
          <c:cat>
            <c:strRef>
              <c:f>'Processed Responses'!$H$56:$H$57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Responses'!$I$56:$I$57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9-4040-B465-8DDF17187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Did the message options feel relatable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59-4660-9242-8D72F872AD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59-4660-9242-8D72F872ADAD}"/>
              </c:ext>
            </c:extLst>
          </c:dPt>
          <c:cat>
            <c:strRef>
              <c:f>'Processed Responses'!$H$69:$H$70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Responses'!$I$69:$I$70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59-4660-9242-8D72F872A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Are three</a:t>
            </a:r>
            <a:r>
              <a:rPr lang="nl-NL" baseline="0"/>
              <a:t> emoticons enough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D4-4C9B-ADD9-BDA5E1FF1D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4-4C9B-ADD9-BDA5E1FF1D29}"/>
              </c:ext>
            </c:extLst>
          </c:dPt>
          <c:cat>
            <c:strRef>
              <c:f>'Processed Responses'!$H$85:$H$86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'Processed Responses'!$I$85:$I$86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4-4C9B-ADD9-BDA5E1FF1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4762</xdr:rowOff>
    </xdr:from>
    <xdr:to>
      <xdr:col>18</xdr:col>
      <xdr:colOff>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77F15-1A99-4410-B1E7-F74F92D92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18</xdr:row>
      <xdr:rowOff>0</xdr:rowOff>
    </xdr:from>
    <xdr:to>
      <xdr:col>18</xdr:col>
      <xdr:colOff>1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BD32B5-E6AC-4EF6-B0C7-D08BA2E9C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A2A991-5A0F-4EFA-B7FF-D5E7184E2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18</xdr:row>
      <xdr:rowOff>0</xdr:rowOff>
    </xdr:from>
    <xdr:to>
      <xdr:col>32</xdr:col>
      <xdr:colOff>0</xdr:colOff>
      <xdr:row>32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D0390D-A412-4A6E-9770-BB2C32629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18</xdr:col>
      <xdr:colOff>0</xdr:colOff>
      <xdr:row>50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C066A9-9E6C-4D86-8D34-4D5F3E6FD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25</xdr:col>
      <xdr:colOff>0</xdr:colOff>
      <xdr:row>50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CE96FEA-4DB8-4CBC-86B6-7C317E64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36</xdr:row>
      <xdr:rowOff>0</xdr:rowOff>
    </xdr:from>
    <xdr:to>
      <xdr:col>32</xdr:col>
      <xdr:colOff>0</xdr:colOff>
      <xdr:row>50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20CB47-6C80-4AC4-8F66-87CD641E0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52</xdr:row>
      <xdr:rowOff>0</xdr:rowOff>
    </xdr:from>
    <xdr:to>
      <xdr:col>18</xdr:col>
      <xdr:colOff>0</xdr:colOff>
      <xdr:row>66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0A6905-23C6-44FC-9BEB-DB27E08F6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0</xdr:colOff>
      <xdr:row>66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1A10565-1334-40B5-BA52-A4B59468F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18</xdr:col>
      <xdr:colOff>0</xdr:colOff>
      <xdr:row>82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12D549-5DE5-435B-8DCF-15574C0F5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0</xdr:colOff>
      <xdr:row>84</xdr:row>
      <xdr:rowOff>0</xdr:rowOff>
    </xdr:from>
    <xdr:to>
      <xdr:col>18</xdr:col>
      <xdr:colOff>0</xdr:colOff>
      <xdr:row>98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9B8EA05-27F4-49DD-9864-26AB2A7F7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oolean Color 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50"/>
      </a:accent1>
      <a:accent2>
        <a:srgbClr val="FF0000"/>
      </a:accent2>
      <a:accent3>
        <a:srgbClr val="FFC000"/>
      </a:accent3>
      <a:accent4>
        <a:srgbClr val="00206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zoomScale="85" zoomScaleNormal="85" workbookViewId="0"/>
  </sheetViews>
  <sheetFormatPr defaultRowHeight="15" x14ac:dyDescent="0.25"/>
  <cols>
    <col min="1" max="1" width="21.7109375" style="1" bestFit="1" customWidth="1"/>
  </cols>
  <sheetData>
    <row r="1" spans="1:29" x14ac:dyDescent="0.25">
      <c r="A1" s="10" t="s">
        <v>35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27</v>
      </c>
      <c r="J1" s="10" t="s">
        <v>43</v>
      </c>
      <c r="K1" s="10" t="s">
        <v>44</v>
      </c>
      <c r="L1" s="10" t="s">
        <v>45</v>
      </c>
      <c r="M1" s="10" t="s">
        <v>46</v>
      </c>
      <c r="N1" s="10" t="s">
        <v>47</v>
      </c>
      <c r="O1" s="10" t="s">
        <v>48</v>
      </c>
      <c r="P1" s="10" t="s">
        <v>49</v>
      </c>
      <c r="Q1" s="10" t="s">
        <v>50</v>
      </c>
      <c r="R1" s="10" t="s">
        <v>51</v>
      </c>
      <c r="S1" s="10" t="s">
        <v>52</v>
      </c>
      <c r="T1" s="10" t="s">
        <v>30</v>
      </c>
      <c r="U1" s="10" t="s">
        <v>53</v>
      </c>
      <c r="V1" s="10" t="s">
        <v>32</v>
      </c>
      <c r="W1" s="10" t="s">
        <v>54</v>
      </c>
      <c r="X1" s="10" t="s">
        <v>55</v>
      </c>
      <c r="Y1" s="10" t="s">
        <v>43</v>
      </c>
      <c r="Z1" s="10" t="s">
        <v>56</v>
      </c>
      <c r="AA1" s="10" t="s">
        <v>57</v>
      </c>
      <c r="AB1" s="10" t="s">
        <v>58</v>
      </c>
      <c r="AC1" s="10" t="s">
        <v>59</v>
      </c>
    </row>
    <row r="2" spans="1:29" x14ac:dyDescent="0.25">
      <c r="A2" s="11">
        <v>44579.469558553239</v>
      </c>
      <c r="B2" s="10">
        <v>15</v>
      </c>
      <c r="C2" s="10" t="s">
        <v>18</v>
      </c>
      <c r="D2" s="10" t="s">
        <v>18</v>
      </c>
      <c r="E2" s="10">
        <v>5</v>
      </c>
      <c r="F2" s="10" t="s">
        <v>18</v>
      </c>
      <c r="G2" s="10" t="s">
        <v>18</v>
      </c>
      <c r="H2" s="7"/>
      <c r="I2" s="10" t="s">
        <v>18</v>
      </c>
      <c r="J2" s="7"/>
      <c r="K2" s="7"/>
      <c r="L2" s="10" t="s">
        <v>60</v>
      </c>
      <c r="M2" s="10" t="s">
        <v>61</v>
      </c>
      <c r="N2" s="10" t="s">
        <v>62</v>
      </c>
      <c r="O2" s="10" t="s">
        <v>60</v>
      </c>
      <c r="P2" s="10" t="s">
        <v>18</v>
      </c>
      <c r="Q2" s="10" t="s">
        <v>63</v>
      </c>
      <c r="R2" s="7"/>
      <c r="S2" s="10" t="s">
        <v>64</v>
      </c>
      <c r="T2" s="10" t="s">
        <v>18</v>
      </c>
      <c r="U2" s="10" t="s">
        <v>65</v>
      </c>
      <c r="V2" s="10" t="s">
        <v>18</v>
      </c>
      <c r="W2" s="10" t="s">
        <v>66</v>
      </c>
      <c r="X2" s="10" t="s">
        <v>18</v>
      </c>
      <c r="Y2" s="7"/>
      <c r="Z2" s="7"/>
      <c r="AA2" s="7"/>
      <c r="AB2" s="7"/>
      <c r="AC2" s="7"/>
    </row>
    <row r="3" spans="1:29" x14ac:dyDescent="0.25">
      <c r="A3" s="11">
        <v>44579.493127291666</v>
      </c>
      <c r="B3" s="10" t="s">
        <v>67</v>
      </c>
      <c r="C3" s="10" t="s">
        <v>17</v>
      </c>
      <c r="D3" s="10" t="s">
        <v>17</v>
      </c>
      <c r="E3" s="10">
        <v>10</v>
      </c>
      <c r="F3" s="10" t="s">
        <v>17</v>
      </c>
      <c r="G3" s="10" t="s">
        <v>17</v>
      </c>
      <c r="H3" s="10" t="s">
        <v>68</v>
      </c>
      <c r="I3" s="10" t="s">
        <v>17</v>
      </c>
      <c r="J3" s="10" t="s">
        <v>69</v>
      </c>
      <c r="K3" s="10" t="s">
        <v>70</v>
      </c>
      <c r="L3" s="10" t="s">
        <v>71</v>
      </c>
      <c r="M3" s="10" t="s">
        <v>72</v>
      </c>
      <c r="N3" s="10" t="s">
        <v>73</v>
      </c>
      <c r="O3" s="10" t="s">
        <v>79</v>
      </c>
      <c r="P3" s="10" t="s">
        <v>17</v>
      </c>
      <c r="Q3" s="7"/>
      <c r="R3" s="10" t="s">
        <v>74</v>
      </c>
      <c r="S3" s="10" t="s">
        <v>75</v>
      </c>
      <c r="T3" s="10" t="s">
        <v>17</v>
      </c>
      <c r="U3" s="10" t="s">
        <v>76</v>
      </c>
      <c r="V3" s="10" t="s">
        <v>17</v>
      </c>
      <c r="W3" s="10" t="s">
        <v>77</v>
      </c>
      <c r="X3" s="10" t="s">
        <v>17</v>
      </c>
      <c r="Y3" s="10" t="s">
        <v>80</v>
      </c>
      <c r="Z3" s="10" t="s">
        <v>81</v>
      </c>
      <c r="AA3" s="10" t="s">
        <v>82</v>
      </c>
      <c r="AB3" s="10" t="s">
        <v>83</v>
      </c>
      <c r="AC3" s="1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DEB0-9661-4901-BCFC-C32302FE6371}">
  <dimension ref="A1:I24"/>
  <sheetViews>
    <sheetView zoomScaleNormal="100" workbookViewId="0">
      <selection sqref="A1:C1"/>
    </sheetView>
  </sheetViews>
  <sheetFormatPr defaultRowHeight="15" x14ac:dyDescent="0.25"/>
  <cols>
    <col min="3" max="3" width="9.140625" style="9"/>
  </cols>
  <sheetData>
    <row r="1" spans="1:9" ht="39" x14ac:dyDescent="0.6">
      <c r="A1" s="12" t="s">
        <v>11</v>
      </c>
      <c r="B1" s="12"/>
      <c r="C1" s="12"/>
    </row>
    <row r="2" spans="1:9" x14ac:dyDescent="0.25">
      <c r="A2" s="13" t="s">
        <v>10</v>
      </c>
      <c r="B2" s="13"/>
      <c r="E2" s="8">
        <f>COUNTA('Raw Data'!A:A) - 1</f>
        <v>2</v>
      </c>
    </row>
    <row r="3" spans="1:9" x14ac:dyDescent="0.25">
      <c r="E3" s="8"/>
    </row>
    <row r="4" spans="1:9" ht="26.25" x14ac:dyDescent="0.4">
      <c r="A4" s="5" t="s">
        <v>7</v>
      </c>
      <c r="E4" s="8"/>
    </row>
    <row r="5" spans="1:9" x14ac:dyDescent="0.25">
      <c r="A5" t="s">
        <v>13</v>
      </c>
      <c r="C5" s="9" t="s">
        <v>8</v>
      </c>
      <c r="E5" s="8">
        <f>COUNTIF('Raw Data'!B:B,"Younger than 12 years old")</f>
        <v>0</v>
      </c>
    </row>
    <row r="6" spans="1:9" x14ac:dyDescent="0.25">
      <c r="C6" s="9">
        <v>12</v>
      </c>
      <c r="E6" s="8">
        <f>COUNTIF('Raw Data'!B:B,"12")</f>
        <v>0</v>
      </c>
      <c r="I6" s="3"/>
    </row>
    <row r="7" spans="1:9" x14ac:dyDescent="0.25">
      <c r="C7" s="9">
        <v>13</v>
      </c>
      <c r="E7" s="8">
        <f>COUNTIF('Raw Data'!B:B,"13")</f>
        <v>0</v>
      </c>
    </row>
    <row r="8" spans="1:9" x14ac:dyDescent="0.25">
      <c r="C8" s="9">
        <v>14</v>
      </c>
      <c r="E8" s="8">
        <f>COUNTIF('Raw Data'!B:B,"14")</f>
        <v>0</v>
      </c>
      <c r="I8" s="3"/>
    </row>
    <row r="9" spans="1:9" x14ac:dyDescent="0.25">
      <c r="C9" s="9">
        <v>15</v>
      </c>
      <c r="E9" s="8">
        <f>COUNTIF('Raw Data'!B:B,"15")</f>
        <v>1</v>
      </c>
    </row>
    <row r="10" spans="1:9" x14ac:dyDescent="0.25">
      <c r="C10" s="9">
        <v>16</v>
      </c>
      <c r="E10" s="8">
        <f>COUNTIF('Raw Data'!B:B,"16")</f>
        <v>0</v>
      </c>
    </row>
    <row r="11" spans="1:9" x14ac:dyDescent="0.25">
      <c r="C11" s="9">
        <v>17</v>
      </c>
      <c r="E11" s="8">
        <f>COUNTIF('Raw Data'!B:B,"17")</f>
        <v>0</v>
      </c>
    </row>
    <row r="12" spans="1:9" x14ac:dyDescent="0.25">
      <c r="C12" s="9">
        <v>18</v>
      </c>
      <c r="E12" s="8">
        <f>COUNTIF('Raw Data'!B:B,"18")</f>
        <v>0</v>
      </c>
    </row>
    <row r="13" spans="1:9" x14ac:dyDescent="0.25">
      <c r="C13" s="9" t="s">
        <v>9</v>
      </c>
      <c r="E13" s="8">
        <f>COUNTIF('Raw Data'!B:B,"Older than 18 years old")</f>
        <v>0</v>
      </c>
    </row>
    <row r="14" spans="1:9" x14ac:dyDescent="0.25">
      <c r="C14" s="9" t="s">
        <v>12</v>
      </c>
      <c r="E14" s="8">
        <f>COUNTIF('Raw Data'!B:B,"I prefer not to say")</f>
        <v>1</v>
      </c>
    </row>
    <row r="15" spans="1:9" x14ac:dyDescent="0.25">
      <c r="A15" s="13" t="s">
        <v>14</v>
      </c>
      <c r="B15" s="13"/>
      <c r="C15" s="9" t="s">
        <v>8</v>
      </c>
      <c r="E15" s="8" t="s">
        <v>15</v>
      </c>
    </row>
    <row r="16" spans="1:9" x14ac:dyDescent="0.25">
      <c r="C16" s="9">
        <v>12</v>
      </c>
      <c r="E16" s="8">
        <f>E6*C6</f>
        <v>0</v>
      </c>
    </row>
    <row r="17" spans="3:5" x14ac:dyDescent="0.25">
      <c r="C17" s="9">
        <v>13</v>
      </c>
      <c r="E17" s="8">
        <f t="shared" ref="E17:E22" si="0">E7*C7</f>
        <v>0</v>
      </c>
    </row>
    <row r="18" spans="3:5" x14ac:dyDescent="0.25">
      <c r="C18" s="9">
        <v>14</v>
      </c>
      <c r="E18" s="8">
        <f t="shared" si="0"/>
        <v>0</v>
      </c>
    </row>
    <row r="19" spans="3:5" x14ac:dyDescent="0.25">
      <c r="C19" s="9">
        <v>15</v>
      </c>
      <c r="E19" s="8">
        <f t="shared" si="0"/>
        <v>15</v>
      </c>
    </row>
    <row r="20" spans="3:5" x14ac:dyDescent="0.25">
      <c r="C20" s="9">
        <v>16</v>
      </c>
      <c r="E20" s="8">
        <f t="shared" si="0"/>
        <v>0</v>
      </c>
    </row>
    <row r="21" spans="3:5" x14ac:dyDescent="0.25">
      <c r="C21" s="9">
        <v>17</v>
      </c>
      <c r="E21" s="8">
        <f t="shared" si="0"/>
        <v>0</v>
      </c>
    </row>
    <row r="22" spans="3:5" x14ac:dyDescent="0.25">
      <c r="C22" s="9">
        <v>18</v>
      </c>
      <c r="E22" s="8">
        <f t="shared" si="0"/>
        <v>0</v>
      </c>
    </row>
    <row r="23" spans="3:5" x14ac:dyDescent="0.25">
      <c r="C23" s="9" t="s">
        <v>9</v>
      </c>
      <c r="E23" s="8" t="s">
        <v>15</v>
      </c>
    </row>
    <row r="24" spans="3:5" x14ac:dyDescent="0.25">
      <c r="C24" s="9" t="s">
        <v>12</v>
      </c>
      <c r="E24" s="8" t="s">
        <v>15</v>
      </c>
    </row>
  </sheetData>
  <mergeCells count="3">
    <mergeCell ref="A1:C1"/>
    <mergeCell ref="A2:B2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5903-9C27-4596-8CF4-777066DC0C75}">
  <dimension ref="A1:U86"/>
  <sheetViews>
    <sheetView zoomScaleNormal="100" workbookViewId="0">
      <selection sqref="A1:F1"/>
    </sheetView>
  </sheetViews>
  <sheetFormatPr defaultRowHeight="15" x14ac:dyDescent="0.25"/>
  <cols>
    <col min="8" max="8" width="15.85546875" style="9" bestFit="1" customWidth="1"/>
    <col min="9" max="9" width="9.140625" style="2"/>
  </cols>
  <sheetData>
    <row r="1" spans="1:10" ht="39" x14ac:dyDescent="0.6">
      <c r="A1" s="15" t="s">
        <v>3</v>
      </c>
      <c r="B1" s="15"/>
      <c r="C1" s="15"/>
      <c r="D1" s="15"/>
      <c r="E1" s="15"/>
      <c r="F1" s="15"/>
    </row>
    <row r="2" spans="1:10" ht="26.25" x14ac:dyDescent="0.4">
      <c r="A2" s="14" t="s">
        <v>2</v>
      </c>
      <c r="B2" s="14"/>
    </row>
    <row r="3" spans="1:10" x14ac:dyDescent="0.25">
      <c r="A3" s="13" t="s">
        <v>0</v>
      </c>
      <c r="B3" s="13"/>
      <c r="I3" s="2">
        <f>'Data for Processing'!E2</f>
        <v>2</v>
      </c>
    </row>
    <row r="4" spans="1:10" x14ac:dyDescent="0.25">
      <c r="A4" t="s">
        <v>4</v>
      </c>
      <c r="J4" t="s">
        <v>19</v>
      </c>
    </row>
    <row r="5" spans="1:10" x14ac:dyDescent="0.25">
      <c r="A5" t="s">
        <v>1</v>
      </c>
      <c r="I5" s="2" cm="1">
        <f t="array" ref="I5">INDEX('Data for Processing'!C6:C12,MATCH(ROUND(AVERAGE(_xlfn._xlws.FILTER('Raw Data'!B:B,'Raw Data'!B:B &gt; 0)),0),'Data for Processing'!C6:C12,0))</f>
        <v>15</v>
      </c>
    </row>
    <row r="6" spans="1:10" x14ac:dyDescent="0.25">
      <c r="A6" t="s">
        <v>5</v>
      </c>
      <c r="I6" s="2">
        <f>MEDIAN('Raw Data'!B:B)</f>
        <v>15</v>
      </c>
    </row>
    <row r="18" spans="1:21" ht="26.25" x14ac:dyDescent="0.4">
      <c r="A18" s="14" t="s">
        <v>6</v>
      </c>
      <c r="B18" s="14"/>
    </row>
    <row r="19" spans="1:21" x14ac:dyDescent="0.25">
      <c r="A19" s="16" t="s">
        <v>16</v>
      </c>
      <c r="B19" s="16"/>
      <c r="C19" s="2"/>
      <c r="D19" s="2"/>
      <c r="E19" s="2"/>
      <c r="F19" s="2"/>
      <c r="G19" s="2"/>
      <c r="H19" s="9" t="s">
        <v>18</v>
      </c>
      <c r="I19" s="2">
        <f>COUNTIF('Raw Data'!C:C,"Yes")</f>
        <v>1</v>
      </c>
      <c r="J19" s="2" t="s">
        <v>19</v>
      </c>
    </row>
    <row r="20" spans="1:21" x14ac:dyDescent="0.25">
      <c r="A20" s="2"/>
      <c r="B20" s="2"/>
      <c r="C20" s="2"/>
      <c r="D20" s="2"/>
      <c r="E20" s="2"/>
      <c r="F20" s="2"/>
      <c r="G20" s="2"/>
      <c r="H20" s="9" t="s">
        <v>17</v>
      </c>
      <c r="I20" s="2">
        <f>COUNTIF('Raw Data'!C:C,"No")</f>
        <v>1</v>
      </c>
    </row>
    <row r="22" spans="1:21" x14ac:dyDescent="0.25">
      <c r="A22" s="13" t="s">
        <v>20</v>
      </c>
      <c r="B22" s="13"/>
      <c r="C22" s="13"/>
      <c r="H22" s="9" t="s">
        <v>18</v>
      </c>
      <c r="I22" s="2">
        <f>COUNTIF('Raw Data'!D:D,"Yes")</f>
        <v>1</v>
      </c>
      <c r="J22" t="s">
        <v>19</v>
      </c>
    </row>
    <row r="23" spans="1:21" x14ac:dyDescent="0.25">
      <c r="H23" s="9" t="s">
        <v>17</v>
      </c>
      <c r="I23" s="2">
        <f>COUNTIF('Raw Data'!D:D,"No")</f>
        <v>1</v>
      </c>
    </row>
    <row r="25" spans="1:21" x14ac:dyDescent="0.25">
      <c r="A25" s="13" t="s">
        <v>21</v>
      </c>
      <c r="B25" s="13"/>
      <c r="C25" s="13"/>
      <c r="H25" s="9" t="s">
        <v>22</v>
      </c>
      <c r="I25" s="2">
        <f>COUNTIF('Raw Data'!E:E,0)</f>
        <v>0</v>
      </c>
      <c r="J25" t="s">
        <v>19</v>
      </c>
    </row>
    <row r="26" spans="1:21" x14ac:dyDescent="0.25">
      <c r="H26" s="9">
        <v>1</v>
      </c>
      <c r="I26" s="2">
        <f>COUNTIF('Raw Data'!E:E,1)</f>
        <v>0</v>
      </c>
      <c r="U26" s="4"/>
    </row>
    <row r="27" spans="1:21" x14ac:dyDescent="0.25">
      <c r="H27" s="9">
        <v>2</v>
      </c>
      <c r="I27" s="2">
        <f>COUNTIF('Raw Data'!E:E,2)</f>
        <v>0</v>
      </c>
      <c r="U27" s="4"/>
    </row>
    <row r="28" spans="1:21" x14ac:dyDescent="0.25">
      <c r="H28" s="9">
        <v>3</v>
      </c>
      <c r="I28" s="2">
        <f>COUNTIF('Raw Data'!E:E,3)</f>
        <v>0</v>
      </c>
    </row>
    <row r="29" spans="1:21" x14ac:dyDescent="0.25">
      <c r="H29" s="9">
        <v>4</v>
      </c>
      <c r="I29" s="2">
        <f>COUNTIF('Raw Data'!E:E,4)</f>
        <v>0</v>
      </c>
    </row>
    <row r="30" spans="1:21" x14ac:dyDescent="0.25">
      <c r="H30" s="9">
        <v>5</v>
      </c>
      <c r="I30" s="2">
        <f>COUNTIF('Raw Data'!E:E,5)</f>
        <v>1</v>
      </c>
    </row>
    <row r="31" spans="1:21" x14ac:dyDescent="0.25">
      <c r="H31" s="9">
        <v>6</v>
      </c>
      <c r="I31" s="2">
        <f>COUNTIF('Raw Data'!E:E,6)</f>
        <v>0</v>
      </c>
    </row>
    <row r="32" spans="1:21" x14ac:dyDescent="0.25">
      <c r="H32" s="9">
        <v>7</v>
      </c>
      <c r="I32" s="2">
        <f>COUNTIF('Raw Data'!E:E,7)</f>
        <v>0</v>
      </c>
    </row>
    <row r="33" spans="1:10" x14ac:dyDescent="0.25">
      <c r="H33" s="9">
        <v>8</v>
      </c>
      <c r="I33" s="2">
        <f>COUNTIF('Raw Data'!E:E,8)</f>
        <v>0</v>
      </c>
    </row>
    <row r="34" spans="1:10" x14ac:dyDescent="0.25">
      <c r="H34" s="9">
        <v>9</v>
      </c>
      <c r="I34" s="2">
        <f>COUNTIF('Raw Data'!E:E,9)</f>
        <v>0</v>
      </c>
    </row>
    <row r="35" spans="1:10" x14ac:dyDescent="0.25">
      <c r="H35" s="9" t="s">
        <v>23</v>
      </c>
      <c r="I35" s="2">
        <f>COUNTIF('Raw Data'!E:E,10)</f>
        <v>1</v>
      </c>
    </row>
    <row r="37" spans="1:10" x14ac:dyDescent="0.25">
      <c r="A37" s="13" t="s">
        <v>24</v>
      </c>
      <c r="B37" s="13"/>
      <c r="C37" s="13"/>
      <c r="D37" s="13"/>
      <c r="E37" s="13"/>
      <c r="F37" s="13"/>
      <c r="G37" s="13"/>
      <c r="H37" s="9" t="s">
        <v>18</v>
      </c>
      <c r="I37" s="2">
        <f>COUNTIF('Raw Data'!F:F,"Yes")</f>
        <v>1</v>
      </c>
      <c r="J37" t="s">
        <v>19</v>
      </c>
    </row>
    <row r="38" spans="1:10" ht="15.75" x14ac:dyDescent="0.25">
      <c r="A38" s="6"/>
      <c r="H38" s="9" t="s">
        <v>17</v>
      </c>
      <c r="I38" s="2">
        <f>COUNTIF('Raw Data'!F:F,"No")</f>
        <v>1</v>
      </c>
    </row>
    <row r="39" spans="1:10" x14ac:dyDescent="0.25">
      <c r="H39" s="9" t="s">
        <v>25</v>
      </c>
      <c r="I39" s="2">
        <f>COUNTIF('Raw Data'!F:F,"I did not see color customizations")</f>
        <v>0</v>
      </c>
    </row>
    <row r="41" spans="1:10" x14ac:dyDescent="0.25">
      <c r="A41" s="13" t="s">
        <v>26</v>
      </c>
      <c r="B41" s="13"/>
      <c r="C41" s="13"/>
      <c r="D41" s="13"/>
      <c r="E41" s="13"/>
      <c r="H41" s="9" t="s">
        <v>18</v>
      </c>
      <c r="I41" s="2">
        <f>COUNTIF('Raw Data'!G:G,"Yes")</f>
        <v>1</v>
      </c>
      <c r="J41" t="s">
        <v>19</v>
      </c>
    </row>
    <row r="42" spans="1:10" x14ac:dyDescent="0.25">
      <c r="H42" s="9" t="s">
        <v>17</v>
      </c>
      <c r="I42" s="2">
        <f>COUNTIF('Raw Data'!G:G,"No")</f>
        <v>1</v>
      </c>
    </row>
    <row r="43" spans="1:10" x14ac:dyDescent="0.25">
      <c r="H43" s="9" t="s">
        <v>25</v>
      </c>
      <c r="I43" s="2">
        <f>COUNTIF('Raw Data'!G:G,"I did not see color customizations")</f>
        <v>0</v>
      </c>
    </row>
    <row r="45" spans="1:10" x14ac:dyDescent="0.25">
      <c r="A45" s="13" t="s">
        <v>27</v>
      </c>
      <c r="B45" s="13"/>
      <c r="C45" s="13"/>
      <c r="D45" s="13"/>
      <c r="H45" s="9" t="s">
        <v>18</v>
      </c>
      <c r="I45" s="2">
        <f>COUNTIF('Raw Data'!I:I,"Yes")</f>
        <v>1</v>
      </c>
      <c r="J45" t="s">
        <v>19</v>
      </c>
    </row>
    <row r="46" spans="1:10" x14ac:dyDescent="0.25">
      <c r="H46" s="9" t="s">
        <v>17</v>
      </c>
      <c r="I46" s="2">
        <f>COUNTIF('Raw Data'!I:I,"No")</f>
        <v>1</v>
      </c>
    </row>
    <row r="52" spans="1:10" ht="26.25" x14ac:dyDescent="0.4">
      <c r="A52" s="14" t="s">
        <v>28</v>
      </c>
      <c r="B52" s="14"/>
    </row>
    <row r="53" spans="1:10" x14ac:dyDescent="0.25">
      <c r="A53" s="13" t="s">
        <v>29</v>
      </c>
      <c r="B53" s="13"/>
      <c r="C53" s="13"/>
      <c r="D53" s="13"/>
      <c r="E53" s="13"/>
      <c r="F53" s="13"/>
      <c r="H53" s="9" t="s">
        <v>18</v>
      </c>
      <c r="I53" s="2">
        <f>COUNTIF('Raw Data'!P:P,"Yes")</f>
        <v>1</v>
      </c>
      <c r="J53" t="s">
        <v>19</v>
      </c>
    </row>
    <row r="54" spans="1:10" x14ac:dyDescent="0.25">
      <c r="H54" s="9" t="s">
        <v>17</v>
      </c>
      <c r="I54" s="2">
        <f>COUNTIF('Raw Data'!P:P,"No")</f>
        <v>1</v>
      </c>
    </row>
    <row r="56" spans="1:10" x14ac:dyDescent="0.25">
      <c r="A56" s="13" t="s">
        <v>30</v>
      </c>
      <c r="B56" s="13"/>
      <c r="C56" s="13"/>
      <c r="D56" s="13"/>
      <c r="E56" s="13"/>
      <c r="H56" s="9" t="s">
        <v>18</v>
      </c>
      <c r="I56" s="2">
        <f>COUNTIF('Raw Data'!T:T,"Yes")</f>
        <v>1</v>
      </c>
      <c r="J56" t="s">
        <v>19</v>
      </c>
    </row>
    <row r="57" spans="1:10" x14ac:dyDescent="0.25">
      <c r="H57" s="9" t="s">
        <v>17</v>
      </c>
      <c r="I57" s="2">
        <f>COUNTIF('Raw Data'!T:T,"No")</f>
        <v>1</v>
      </c>
    </row>
    <row r="68" spans="1:10" ht="26.25" x14ac:dyDescent="0.4">
      <c r="A68" s="14" t="s">
        <v>31</v>
      </c>
      <c r="B68" s="14"/>
    </row>
    <row r="69" spans="1:10" x14ac:dyDescent="0.25">
      <c r="A69" s="13" t="s">
        <v>32</v>
      </c>
      <c r="B69" s="13"/>
      <c r="C69" s="13"/>
      <c r="D69" s="13"/>
      <c r="H69" s="9" t="s">
        <v>18</v>
      </c>
      <c r="I69" s="2">
        <f>COUNTIF('Raw Data'!V:V,"Yes")</f>
        <v>1</v>
      </c>
      <c r="J69" t="s">
        <v>19</v>
      </c>
    </row>
    <row r="70" spans="1:10" x14ac:dyDescent="0.25">
      <c r="H70" s="9" t="s">
        <v>17</v>
      </c>
      <c r="I70" s="2">
        <f>COUNTIF('Raw Data'!V:V,"No")</f>
        <v>1</v>
      </c>
    </row>
    <row r="84" spans="1:10" ht="26.25" x14ac:dyDescent="0.4">
      <c r="A84" s="14" t="s">
        <v>33</v>
      </c>
      <c r="B84" s="14"/>
    </row>
    <row r="85" spans="1:10" x14ac:dyDescent="0.25">
      <c r="A85" s="13" t="s">
        <v>34</v>
      </c>
      <c r="B85" s="13"/>
      <c r="C85" s="13"/>
      <c r="H85" s="9" t="s">
        <v>18</v>
      </c>
      <c r="I85" s="2">
        <f>COUNTIF('Raw Data'!X:X,"Yes")</f>
        <v>1</v>
      </c>
      <c r="J85" t="s">
        <v>19</v>
      </c>
    </row>
    <row r="86" spans="1:10" x14ac:dyDescent="0.25">
      <c r="H86" s="9" t="s">
        <v>17</v>
      </c>
      <c r="I86" s="2">
        <f>COUNTIF('Raw Data'!X:X,"No")</f>
        <v>1</v>
      </c>
    </row>
  </sheetData>
  <mergeCells count="17">
    <mergeCell ref="A85:C85"/>
    <mergeCell ref="A53:F53"/>
    <mergeCell ref="A56:E56"/>
    <mergeCell ref="A69:D69"/>
    <mergeCell ref="A68:B68"/>
    <mergeCell ref="A84:B84"/>
    <mergeCell ref="A52:B52"/>
    <mergeCell ref="A1:F1"/>
    <mergeCell ref="A3:B3"/>
    <mergeCell ref="A2:B2"/>
    <mergeCell ref="A18:B18"/>
    <mergeCell ref="A19:B19"/>
    <mergeCell ref="A22:C22"/>
    <mergeCell ref="A25:C25"/>
    <mergeCell ref="A37:G37"/>
    <mergeCell ref="A41:E41"/>
    <mergeCell ref="A45:D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for Processing</vt:lpstr>
      <vt:lpstr>Processed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Theeuwen</dc:creator>
  <cp:lastModifiedBy>Sander Theeuwen</cp:lastModifiedBy>
  <dcterms:created xsi:type="dcterms:W3CDTF">2015-06-05T18:17:20Z</dcterms:created>
  <dcterms:modified xsi:type="dcterms:W3CDTF">2022-01-20T14:49:58Z</dcterms:modified>
</cp:coreProperties>
</file>